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Ledg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GitHub Import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'Stock Ledger'!$A$1:$Q$109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FFFFFF"/>
      <sz val="15"/>
    </font>
    <font>
      <b val="1"/>
      <color rgb="000F766E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0" fontId="2" fillId="2" borderId="0" pivotButton="0" quotePrefix="0" xfId="0"/>
    <xf numFmtId="0" fontId="1" fillId="3" borderId="0" pivotButton="0" quotePrefix="0" xfId="0"/>
    <xf numFmtId="4" fontId="0" fillId="0" borderId="0" pivotButton="0" quotePrefix="0" xfId="0"/>
    <xf numFmtId="0" fontId="1" fillId="4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tockLedger" displayName="StockLedger" ref="A1:Q109" headerRowCount="1">
  <autoFilter ref="A1:Q109"/>
  <tableColumns count="17">
    <tableColumn id="1" name="Date"/>
    <tableColumn id="2" name="Item Code"/>
    <tableColumn id="3" name="Item Name"/>
    <tableColumn id="4" name="UOM"/>
    <tableColumn id="5" name="Qty In"/>
    <tableColumn id="6" name="Qty Out"/>
    <tableColumn id="7" name="Balance"/>
    <tableColumn id="8" name="Warehouse"/>
    <tableColumn id="9" name="Brand"/>
    <tableColumn id="10" name="Description"/>
    <tableColumn id="11" name="Unit Rate"/>
    <tableColumn id="12" name="Line Value"/>
    <tableColumn id="13" name="Voucher Type"/>
    <tableColumn id="14" name="Voucher No"/>
    <tableColumn id="15" name="Movement Type"/>
    <tableColumn id="16" name="From Warehouse"/>
    <tableColumn id="17" name="To Warehous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Q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2" customWidth="1" min="3" max="3"/>
    <col width="10" customWidth="1" min="4" max="4"/>
    <col width="12" customWidth="1" min="5" max="5"/>
    <col width="12" customWidth="1" min="6" max="6"/>
    <col width="12" customWidth="1" min="7" max="7"/>
    <col width="20" customWidth="1" min="8" max="8"/>
    <col width="16" customWidth="1" min="9" max="9"/>
    <col width="24" customWidth="1" min="10" max="10"/>
    <col width="14" customWidth="1" min="11" max="11"/>
    <col width="16" customWidth="1" min="12" max="12"/>
    <col width="20" customWidth="1" min="13" max="13"/>
    <col width="24" customWidth="1" min="14" max="14"/>
    <col width="16" customWidth="1" min="15" max="15"/>
    <col width="20" customWidth="1" min="16" max="16"/>
    <col width="20" customWidth="1" min="17" max="17"/>
  </cols>
  <sheetData>
    <row r="1">
      <c r="A1" s="1" t="inlineStr">
        <is>
          <t>Date</t>
        </is>
      </c>
      <c r="B1" s="1" t="inlineStr">
        <is>
          <t>Item Code</t>
        </is>
      </c>
      <c r="C1" s="1" t="inlineStr">
        <is>
          <t>Item Name</t>
        </is>
      </c>
      <c r="D1" s="1" t="inlineStr">
        <is>
          <t>UOM</t>
        </is>
      </c>
      <c r="E1" s="1" t="inlineStr">
        <is>
          <t>Qty In</t>
        </is>
      </c>
      <c r="F1" s="1" t="inlineStr">
        <is>
          <t>Qty Out</t>
        </is>
      </c>
      <c r="G1" s="1" t="inlineStr">
        <is>
          <t>Balance</t>
        </is>
      </c>
      <c r="H1" s="1" t="inlineStr">
        <is>
          <t>Warehouse</t>
        </is>
      </c>
      <c r="I1" s="1" t="inlineStr">
        <is>
          <t>Brand</t>
        </is>
      </c>
      <c r="J1" s="1" t="inlineStr">
        <is>
          <t>Description</t>
        </is>
      </c>
      <c r="K1" s="1" t="inlineStr">
        <is>
          <t>Unit Rate</t>
        </is>
      </c>
      <c r="L1" s="1" t="inlineStr">
        <is>
          <t>Line Value</t>
        </is>
      </c>
      <c r="M1" s="1" t="inlineStr">
        <is>
          <t>Voucher Type</t>
        </is>
      </c>
      <c r="N1" s="1" t="inlineStr">
        <is>
          <t>Voucher No</t>
        </is>
      </c>
      <c r="O1" s="1" t="inlineStr">
        <is>
          <t>Movement Type</t>
        </is>
      </c>
      <c r="P1" s="1" t="inlineStr">
        <is>
          <t>From Warehouse</t>
        </is>
      </c>
      <c r="Q1" s="1" t="inlineStr">
        <is>
          <t>To Warehouse</t>
        </is>
      </c>
    </row>
    <row r="2">
      <c r="A2" s="2" t="inlineStr">
        <is>
          <t>2026-08-11 12:59</t>
        </is>
      </c>
      <c r="B2" s="2" t="inlineStr">
        <is>
          <t>303616606</t>
        </is>
      </c>
      <c r="C2" s="2" t="inlineStr">
        <is>
          <t>DS-9664NI-M16</t>
        </is>
      </c>
      <c r="D2" s="2" t="inlineStr">
        <is>
          <t>Nos</t>
        </is>
      </c>
      <c r="E2" s="2" t="n">
        <v>1</v>
      </c>
      <c r="F2" s="2" t="n">
        <v>0</v>
      </c>
      <c r="G2" s="2" t="n">
        <v>1</v>
      </c>
      <c r="H2" s="2" t="inlineStr">
        <is>
          <t>DSV Warehouse</t>
        </is>
      </c>
      <c r="I2" s="2" t="inlineStr">
        <is>
          <t>Hikvision</t>
        </is>
      </c>
      <c r="J2" s="2" t="inlineStr">
        <is>
          <t>64-ch 3U 4K NVR</t>
        </is>
      </c>
      <c r="K2" s="3" t="n">
        <v>508.435</v>
      </c>
      <c r="L2" s="3" t="n">
        <v>508.435</v>
      </c>
      <c r="M2" s="2" t="inlineStr">
        <is>
          <t>Purchase Receipt</t>
        </is>
      </c>
      <c r="N2" s="2" t="inlineStr">
        <is>
          <t>MAT-PRE-2026-00017</t>
        </is>
      </c>
      <c r="O2" s="2" t="inlineStr">
        <is>
          <t>Purchase</t>
        </is>
      </c>
      <c r="P2" s="2" t="inlineStr"/>
      <c r="Q2" s="2" t="inlineStr">
        <is>
          <t>DSV Warehouse</t>
        </is>
      </c>
    </row>
    <row r="3">
      <c r="A3" s="2" t="inlineStr">
        <is>
          <t>2026-08-19 10:01</t>
        </is>
      </c>
      <c r="B3" s="2" t="inlineStr">
        <is>
          <t>303616606</t>
        </is>
      </c>
      <c r="C3" s="2" t="inlineStr">
        <is>
          <t>DS-9664NI-M16</t>
        </is>
      </c>
      <c r="D3" s="2" t="inlineStr">
        <is>
          <t>Nos</t>
        </is>
      </c>
      <c r="E3" s="2" t="n">
        <v>0</v>
      </c>
      <c r="F3" s="2" t="n">
        <v>1</v>
      </c>
      <c r="G3" s="2" t="n">
        <v>0</v>
      </c>
      <c r="H3" s="2" t="inlineStr">
        <is>
          <t>DSV Warehouse</t>
        </is>
      </c>
      <c r="I3" s="2" t="inlineStr">
        <is>
          <t>Hikvision</t>
        </is>
      </c>
      <c r="J3" s="2" t="inlineStr">
        <is>
          <t>64-ch 3U 4K NVR</t>
        </is>
      </c>
      <c r="K3" s="3" t="n">
        <v>0</v>
      </c>
      <c r="L3" s="3" t="n">
        <v>0</v>
      </c>
      <c r="M3" s="2" t="inlineStr">
        <is>
          <t>Stock Entry</t>
        </is>
      </c>
      <c r="N3" s="2" t="inlineStr">
        <is>
          <t>MAT-STE-2026-00253</t>
        </is>
      </c>
      <c r="O3" s="2" t="inlineStr">
        <is>
          <t>Transfer</t>
        </is>
      </c>
      <c r="P3" s="2" t="inlineStr">
        <is>
          <t>DSV Warehouse</t>
        </is>
      </c>
      <c r="Q3" s="2" t="inlineStr">
        <is>
          <t>Stores</t>
        </is>
      </c>
    </row>
    <row r="4">
      <c r="A4" s="2" t="inlineStr">
        <is>
          <t>2026-08-19 10:01</t>
        </is>
      </c>
      <c r="B4" s="2" t="inlineStr">
        <is>
          <t>303616606</t>
        </is>
      </c>
      <c r="C4" s="2" t="inlineStr">
        <is>
          <t>DS-9664NI-M16</t>
        </is>
      </c>
      <c r="D4" s="2" t="inlineStr">
        <is>
          <t>Nos</t>
        </is>
      </c>
      <c r="E4" s="2" t="n">
        <v>1</v>
      </c>
      <c r="F4" s="2" t="n">
        <v>0</v>
      </c>
      <c r="G4" s="2" t="n">
        <v>1</v>
      </c>
      <c r="H4" s="2" t="inlineStr">
        <is>
          <t>Stores</t>
        </is>
      </c>
      <c r="I4" s="2" t="inlineStr">
        <is>
          <t>Hikvision</t>
        </is>
      </c>
      <c r="J4" s="2" t="inlineStr">
        <is>
          <t>64-ch 3U 4K NVR</t>
        </is>
      </c>
      <c r="K4" s="3" t="n">
        <v>508.435</v>
      </c>
      <c r="L4" s="3" t="n">
        <v>508.435</v>
      </c>
      <c r="M4" s="2" t="inlineStr">
        <is>
          <t>Stock Entry</t>
        </is>
      </c>
      <c r="N4" s="2" t="inlineStr">
        <is>
          <t>MAT-STE-2026-00253</t>
        </is>
      </c>
      <c r="O4" s="2" t="inlineStr">
        <is>
          <t>Transfer</t>
        </is>
      </c>
      <c r="P4" s="2" t="inlineStr">
        <is>
          <t>DSV Warehouse</t>
        </is>
      </c>
      <c r="Q4" s="2" t="inlineStr">
        <is>
          <t>Stores</t>
        </is>
      </c>
    </row>
    <row r="5">
      <c r="A5" s="2" t="inlineStr">
        <is>
          <t>2026-08-31 15:29</t>
        </is>
      </c>
      <c r="B5" s="2" t="inlineStr">
        <is>
          <t>303616606</t>
        </is>
      </c>
      <c r="C5" s="2" t="inlineStr">
        <is>
          <t>DS-9664NI-M16</t>
        </is>
      </c>
      <c r="D5" s="2" t="inlineStr">
        <is>
          <t>Nos</t>
        </is>
      </c>
      <c r="E5" s="2" t="n">
        <v>5</v>
      </c>
      <c r="F5" s="2" t="n">
        <v>0</v>
      </c>
      <c r="G5" s="2" t="n">
        <v>5</v>
      </c>
      <c r="H5" s="2" t="inlineStr">
        <is>
          <t>DSV Warehouse</t>
        </is>
      </c>
      <c r="I5" s="2" t="inlineStr">
        <is>
          <t>Hikvision</t>
        </is>
      </c>
      <c r="J5" s="2" t="inlineStr">
        <is>
          <t>64-ch 3U 4K NVR</t>
        </is>
      </c>
      <c r="K5" s="3" t="n">
        <v>467.4916</v>
      </c>
      <c r="L5" s="3" t="n">
        <v>2337.458</v>
      </c>
      <c r="M5" s="2" t="inlineStr">
        <is>
          <t>Purchase Receipt</t>
        </is>
      </c>
      <c r="N5" s="2" t="inlineStr">
        <is>
          <t>MAT-PRE-2026-00018</t>
        </is>
      </c>
      <c r="O5" s="2" t="inlineStr">
        <is>
          <t>Purchase</t>
        </is>
      </c>
      <c r="P5" s="2" t="inlineStr"/>
      <c r="Q5" s="2" t="inlineStr">
        <is>
          <t>DSV Warehouse</t>
        </is>
      </c>
    </row>
    <row r="6">
      <c r="A6" s="2" t="inlineStr">
        <is>
          <t>2026-10-06 15:05</t>
        </is>
      </c>
      <c r="B6" s="2" t="inlineStr">
        <is>
          <t>303616606</t>
        </is>
      </c>
      <c r="C6" s="2" t="inlineStr">
        <is>
          <t>DS-9664NI-M16</t>
        </is>
      </c>
      <c r="D6" s="2" t="inlineStr">
        <is>
          <t>Nos</t>
        </is>
      </c>
      <c r="E6" s="2" t="n">
        <v>1</v>
      </c>
      <c r="F6" s="2" t="n">
        <v>0</v>
      </c>
      <c r="G6" s="2" t="n">
        <v>6</v>
      </c>
      <c r="H6" s="2" t="inlineStr">
        <is>
          <t>DSV Warehouse</t>
        </is>
      </c>
      <c r="I6" s="2" t="inlineStr">
        <is>
          <t>Hikvision</t>
        </is>
      </c>
      <c r="J6" s="2" t="inlineStr">
        <is>
          <t>64-ch 3U 4K NVR</t>
        </is>
      </c>
      <c r="K6" s="3" t="n">
        <v>553.04</v>
      </c>
      <c r="L6" s="3" t="n">
        <v>2890.498</v>
      </c>
      <c r="M6" s="2" t="inlineStr">
        <is>
          <t>Purchase Receipt</t>
        </is>
      </c>
      <c r="N6" s="2" t="inlineStr">
        <is>
          <t>MAT-PRE-2026-00023</t>
        </is>
      </c>
      <c r="O6" s="2" t="inlineStr">
        <is>
          <t>Purchase</t>
        </is>
      </c>
      <c r="P6" s="2" t="inlineStr"/>
      <c r="Q6" s="2" t="inlineStr">
        <is>
          <t>DSV Warehouse</t>
        </is>
      </c>
    </row>
    <row r="7">
      <c r="A7" s="2" t="inlineStr">
        <is>
          <t>2026-10-06 15:05</t>
        </is>
      </c>
      <c r="B7" s="2" t="inlineStr">
        <is>
          <t>303616606</t>
        </is>
      </c>
      <c r="C7" s="2" t="inlineStr">
        <is>
          <t>DS-9664NI-M16</t>
        </is>
      </c>
      <c r="D7" s="2" t="inlineStr">
        <is>
          <t>Nos</t>
        </is>
      </c>
      <c r="E7" s="2" t="n">
        <v>1</v>
      </c>
      <c r="F7" s="2" t="n">
        <v>0</v>
      </c>
      <c r="G7" s="2" t="n">
        <v>7</v>
      </c>
      <c r="H7" s="2" t="inlineStr">
        <is>
          <t>DSV Warehouse</t>
        </is>
      </c>
      <c r="I7" s="2" t="inlineStr">
        <is>
          <t>Hikvision</t>
        </is>
      </c>
      <c r="J7" s="2" t="inlineStr">
        <is>
          <t>64-ch 3U 4K NVR</t>
        </is>
      </c>
      <c r="K7" s="3" t="n">
        <v>497.736</v>
      </c>
      <c r="L7" s="3" t="n">
        <v>3388.234</v>
      </c>
      <c r="M7" s="2" t="inlineStr">
        <is>
          <t>Purchase Receipt</t>
        </is>
      </c>
      <c r="N7" s="2" t="inlineStr">
        <is>
          <t>MAT-PRE-2026-00023</t>
        </is>
      </c>
      <c r="O7" s="2" t="inlineStr">
        <is>
          <t>Purchase</t>
        </is>
      </c>
      <c r="P7" s="2" t="inlineStr"/>
      <c r="Q7" s="2" t="inlineStr">
        <is>
          <t>DSV Warehouse</t>
        </is>
      </c>
    </row>
    <row r="8">
      <c r="A8" s="2" t="inlineStr">
        <is>
          <t>2026-10-06 15:05</t>
        </is>
      </c>
      <c r="B8" s="2" t="inlineStr">
        <is>
          <t>303616606</t>
        </is>
      </c>
      <c r="C8" s="2" t="inlineStr">
        <is>
          <t>DS-9664NI-M16</t>
        </is>
      </c>
      <c r="D8" s="2" t="inlineStr">
        <is>
          <t>Nos</t>
        </is>
      </c>
      <c r="E8" s="2" t="n">
        <v>4</v>
      </c>
      <c r="F8" s="2" t="n">
        <v>0</v>
      </c>
      <c r="G8" s="2" t="n">
        <v>11</v>
      </c>
      <c r="H8" s="2" t="inlineStr">
        <is>
          <t>DSV Warehouse</t>
        </is>
      </c>
      <c r="I8" s="2" t="inlineStr">
        <is>
          <t>Hikvision</t>
        </is>
      </c>
      <c r="J8" s="2" t="inlineStr">
        <is>
          <t>64-ch 3U 4K NVR</t>
        </is>
      </c>
      <c r="K8" s="3" t="n">
        <v>553.04</v>
      </c>
      <c r="L8" s="3" t="n">
        <v>5600.394</v>
      </c>
      <c r="M8" s="2" t="inlineStr">
        <is>
          <t>Purchase Receipt</t>
        </is>
      </c>
      <c r="N8" s="2" t="inlineStr">
        <is>
          <t>MAT-PRE-2026-00023</t>
        </is>
      </c>
      <c r="O8" s="2" t="inlineStr">
        <is>
          <t>Purchase</t>
        </is>
      </c>
      <c r="P8" s="2" t="inlineStr"/>
      <c r="Q8" s="2" t="inlineStr">
        <is>
          <t>DSV Warehouse</t>
        </is>
      </c>
    </row>
    <row r="9">
      <c r="A9" s="2" t="inlineStr">
        <is>
          <t>2026-10-06 15:05</t>
        </is>
      </c>
      <c r="B9" s="2" t="inlineStr">
        <is>
          <t>303616606</t>
        </is>
      </c>
      <c r="C9" s="2" t="inlineStr">
        <is>
          <t>DS-9664NI-M16</t>
        </is>
      </c>
      <c r="D9" s="2" t="inlineStr">
        <is>
          <t>Nos</t>
        </is>
      </c>
      <c r="E9" s="2" t="n">
        <v>14</v>
      </c>
      <c r="F9" s="2" t="n">
        <v>0</v>
      </c>
      <c r="G9" s="2" t="n">
        <v>25</v>
      </c>
      <c r="H9" s="2" t="inlineStr">
        <is>
          <t>DSV Warehouse</t>
        </is>
      </c>
      <c r="I9" s="2" t="inlineStr">
        <is>
          <t>Hikvision</t>
        </is>
      </c>
      <c r="J9" s="2" t="inlineStr">
        <is>
          <t>64-ch 3U 4K NVR</t>
        </is>
      </c>
      <c r="K9" s="3" t="n">
        <v>497.736</v>
      </c>
      <c r="L9" s="3" t="n">
        <v>12568.698</v>
      </c>
      <c r="M9" s="2" t="inlineStr">
        <is>
          <t>Purchase Receipt</t>
        </is>
      </c>
      <c r="N9" s="2" t="inlineStr">
        <is>
          <t>MAT-PRE-2026-00023</t>
        </is>
      </c>
      <c r="O9" s="2" t="inlineStr">
        <is>
          <t>Purchase</t>
        </is>
      </c>
      <c r="P9" s="2" t="inlineStr"/>
      <c r="Q9" s="2" t="inlineStr">
        <is>
          <t>DSV Warehouse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3" t="n"/>
      <c r="L10" s="3">
        <f>IF(OR(E10="",K10=""),"",E10*K10)</f>
        <v/>
      </c>
      <c r="M10" s="2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3" t="n"/>
      <c r="L11" s="3">
        <f>IF(OR(E11="",K11=""),"",E11*K11)</f>
        <v/>
      </c>
      <c r="M11" s="2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3" t="n"/>
      <c r="L12" s="3">
        <f>IF(OR(E12="",K12=""),"",E12*K12)</f>
        <v/>
      </c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3" t="n"/>
      <c r="L13" s="3">
        <f>IF(OR(E13="",K13=""),"",E13*K13)</f>
        <v/>
      </c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3" t="n"/>
      <c r="L14" s="3">
        <f>IF(OR(E14="",K14=""),"",E14*K14)</f>
        <v/>
      </c>
      <c r="M14" s="2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3" t="n"/>
      <c r="L15" s="3">
        <f>IF(OR(E15="",K15=""),"",E15*K15)</f>
        <v/>
      </c>
      <c r="M15" s="2" t="n"/>
      <c r="N15" s="2" t="n"/>
      <c r="O15" s="2" t="n"/>
      <c r="P15" s="2" t="n"/>
      <c r="Q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3" t="n"/>
      <c r="L16" s="3">
        <f>IF(OR(E16="",K16=""),"",E16*K16)</f>
        <v/>
      </c>
      <c r="M16" s="2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3" t="n"/>
      <c r="L17" s="3">
        <f>IF(OR(E17="",K17=""),"",E17*K17)</f>
        <v/>
      </c>
      <c r="M17" s="2" t="n"/>
      <c r="N17" s="2" t="n"/>
      <c r="O17" s="2" t="n"/>
      <c r="P17" s="2" t="n"/>
      <c r="Q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3" t="n"/>
      <c r="L18" s="3">
        <f>IF(OR(E18="",K18=""),"",E18*K18)</f>
        <v/>
      </c>
      <c r="M18" s="2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3" t="n"/>
      <c r="L19" s="3">
        <f>IF(OR(E19="",K19=""),"",E19*K19)</f>
        <v/>
      </c>
      <c r="M19" s="2" t="n"/>
      <c r="N19" s="2" t="n"/>
      <c r="O19" s="2" t="n"/>
      <c r="P19" s="2" t="n"/>
      <c r="Q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3" t="n"/>
      <c r="L20" s="3">
        <f>IF(OR(E20="",K20=""),"",E20*K20)</f>
        <v/>
      </c>
      <c r="M20" s="2" t="n"/>
      <c r="N20" s="2" t="n"/>
      <c r="O20" s="2" t="n"/>
      <c r="P20" s="2" t="n"/>
      <c r="Q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3" t="n"/>
      <c r="L21" s="3">
        <f>IF(OR(E21="",K21=""),"",E21*K21)</f>
        <v/>
      </c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3" t="n"/>
      <c r="L22" s="3">
        <f>IF(OR(E22="",K22=""),"",E22*K22)</f>
        <v/>
      </c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3" t="n"/>
      <c r="L23" s="3">
        <f>IF(OR(E23="",K23=""),"",E23*K23)</f>
        <v/>
      </c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3" t="n"/>
      <c r="L24" s="3">
        <f>IF(OR(E24="",K24=""),"",E24*K24)</f>
        <v/>
      </c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3" t="n"/>
      <c r="L25" s="3">
        <f>IF(OR(E25="",K25=""),"",E25*K25)</f>
        <v/>
      </c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3" t="n"/>
      <c r="L26" s="3">
        <f>IF(OR(E26="",K26=""),"",E26*K26)</f>
        <v/>
      </c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3" t="n"/>
      <c r="L27" s="3">
        <f>IF(OR(E27="",K27=""),"",E27*K27)</f>
        <v/>
      </c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3" t="n"/>
      <c r="L28" s="3">
        <f>IF(OR(E28="",K28=""),"",E28*K28)</f>
        <v/>
      </c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3" t="n"/>
      <c r="L29" s="3">
        <f>IF(OR(E29="",K29=""),"",E29*K29)</f>
        <v/>
      </c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3" t="n"/>
      <c r="L30" s="3">
        <f>IF(OR(E30="",K30=""),"",E30*K30)</f>
        <v/>
      </c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3" t="n"/>
      <c r="L31" s="3">
        <f>IF(OR(E31="",K31=""),"",E31*K31)</f>
        <v/>
      </c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3" t="n"/>
      <c r="L32" s="3">
        <f>IF(OR(E32="",K32=""),"",E32*K32)</f>
        <v/>
      </c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3" t="n"/>
      <c r="L33" s="3">
        <f>IF(OR(E33="",K33=""),"",E33*K33)</f>
        <v/>
      </c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3" t="n"/>
      <c r="L34" s="3">
        <f>IF(OR(E34="",K34=""),"",E34*K34)</f>
        <v/>
      </c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3" t="n"/>
      <c r="L35" s="3">
        <f>IF(OR(E35="",K35=""),"",E35*K35)</f>
        <v/>
      </c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3" t="n"/>
      <c r="L36" s="3">
        <f>IF(OR(E36="",K36=""),"",E36*K36)</f>
        <v/>
      </c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3" t="n"/>
      <c r="L37" s="3">
        <f>IF(OR(E37="",K37=""),"",E37*K37)</f>
        <v/>
      </c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3" t="n"/>
      <c r="L38" s="3">
        <f>IF(OR(E38="",K38=""),"",E38*K38)</f>
        <v/>
      </c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3" t="n"/>
      <c r="L39" s="3">
        <f>IF(OR(E39="",K39=""),"",E39*K39)</f>
        <v/>
      </c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3" t="n"/>
      <c r="L40" s="3">
        <f>IF(OR(E40="",K40=""),"",E40*K40)</f>
        <v/>
      </c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3" t="n"/>
      <c r="L41" s="3">
        <f>IF(OR(E41="",K41=""),"",E41*K41)</f>
        <v/>
      </c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3" t="n"/>
      <c r="L42" s="3">
        <f>IF(OR(E42="",K42=""),"",E42*K42)</f>
        <v/>
      </c>
      <c r="M42" s="2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3" t="n"/>
      <c r="L43" s="3">
        <f>IF(OR(E43="",K43=""),"",E43*K43)</f>
        <v/>
      </c>
      <c r="M43" s="2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3" t="n"/>
      <c r="L44" s="3">
        <f>IF(OR(E44="",K44=""),"",E44*K44)</f>
        <v/>
      </c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3" t="n"/>
      <c r="L45" s="3">
        <f>IF(OR(E45="",K45=""),"",E45*K45)</f>
        <v/>
      </c>
      <c r="M45" s="2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3" t="n"/>
      <c r="L46" s="3">
        <f>IF(OR(E46="",K46=""),"",E46*K46)</f>
        <v/>
      </c>
      <c r="M46" s="2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3" t="n"/>
      <c r="L47" s="3">
        <f>IF(OR(E47="",K47=""),"",E47*K47)</f>
        <v/>
      </c>
      <c r="M47" s="2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3" t="n"/>
      <c r="L48" s="3">
        <f>IF(OR(E48="",K48=""),"",E48*K48)</f>
        <v/>
      </c>
      <c r="M48" s="2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3" t="n"/>
      <c r="L49" s="3">
        <f>IF(OR(E49="",K49=""),"",E49*K49)</f>
        <v/>
      </c>
      <c r="M49" s="2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3" t="n"/>
      <c r="L50" s="3">
        <f>IF(OR(E50="",K50=""),"",E50*K50)</f>
        <v/>
      </c>
      <c r="M50" s="2" t="n"/>
      <c r="N50" s="2" t="n"/>
      <c r="O50" s="2" t="n"/>
      <c r="P50" s="2" t="n"/>
      <c r="Q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3" t="n"/>
      <c r="L51" s="3">
        <f>IF(OR(E51="",K51=""),"",E51*K51)</f>
        <v/>
      </c>
      <c r="M51" s="2" t="n"/>
      <c r="N51" s="2" t="n"/>
      <c r="O51" s="2" t="n"/>
      <c r="P51" s="2" t="n"/>
      <c r="Q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3" t="n"/>
      <c r="L52" s="3">
        <f>IF(OR(E52="",K52=""),"",E52*K52)</f>
        <v/>
      </c>
      <c r="M52" s="2" t="n"/>
      <c r="N52" s="2" t="n"/>
      <c r="O52" s="2" t="n"/>
      <c r="P52" s="2" t="n"/>
      <c r="Q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3" t="n"/>
      <c r="L53" s="3">
        <f>IF(OR(E53="",K53=""),"",E53*K53)</f>
        <v/>
      </c>
      <c r="M53" s="2" t="n"/>
      <c r="N53" s="2" t="n"/>
      <c r="O53" s="2" t="n"/>
      <c r="P53" s="2" t="n"/>
      <c r="Q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3" t="n"/>
      <c r="L54" s="3">
        <f>IF(OR(E54="",K54=""),"",E54*K54)</f>
        <v/>
      </c>
      <c r="M54" s="2" t="n"/>
      <c r="N54" s="2" t="n"/>
      <c r="O54" s="2" t="n"/>
      <c r="P54" s="2" t="n"/>
      <c r="Q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3" t="n"/>
      <c r="L55" s="3">
        <f>IF(OR(E55="",K55=""),"",E55*K55)</f>
        <v/>
      </c>
      <c r="M55" s="2" t="n"/>
      <c r="N55" s="2" t="n"/>
      <c r="O55" s="2" t="n"/>
      <c r="P55" s="2" t="n"/>
      <c r="Q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3" t="n"/>
      <c r="L56" s="3">
        <f>IF(OR(E56="",K56=""),"",E56*K56)</f>
        <v/>
      </c>
      <c r="M56" s="2" t="n"/>
      <c r="N56" s="2" t="n"/>
      <c r="O56" s="2" t="n"/>
      <c r="P56" s="2" t="n"/>
      <c r="Q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3" t="n"/>
      <c r="L57" s="3">
        <f>IF(OR(E57="",K57=""),"",E57*K57)</f>
        <v/>
      </c>
      <c r="M57" s="2" t="n"/>
      <c r="N57" s="2" t="n"/>
      <c r="O57" s="2" t="n"/>
      <c r="P57" s="2" t="n"/>
      <c r="Q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3" t="n"/>
      <c r="L58" s="3">
        <f>IF(OR(E58="",K58=""),"",E58*K58)</f>
        <v/>
      </c>
      <c r="M58" s="2" t="n"/>
      <c r="N58" s="2" t="n"/>
      <c r="O58" s="2" t="n"/>
      <c r="P58" s="2" t="n"/>
      <c r="Q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3" t="n"/>
      <c r="L59" s="3">
        <f>IF(OR(E59="",K59=""),"",E59*K59)</f>
        <v/>
      </c>
      <c r="M59" s="2" t="n"/>
      <c r="N59" s="2" t="n"/>
      <c r="O59" s="2" t="n"/>
      <c r="P59" s="2" t="n"/>
      <c r="Q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3" t="n"/>
      <c r="L60" s="3">
        <f>IF(OR(E60="",K60=""),"",E60*K60)</f>
        <v/>
      </c>
      <c r="M60" s="2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3" t="n"/>
      <c r="L61" s="3">
        <f>IF(OR(E61="",K61=""),"",E61*K61)</f>
        <v/>
      </c>
      <c r="M61" s="2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3" t="n"/>
      <c r="L62" s="3">
        <f>IF(OR(E62="",K62=""),"",E62*K62)</f>
        <v/>
      </c>
      <c r="M62" s="2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3" t="n"/>
      <c r="L63" s="3">
        <f>IF(OR(E63="",K63=""),"",E63*K63)</f>
        <v/>
      </c>
      <c r="M63" s="2" t="n"/>
      <c r="N63" s="2" t="n"/>
      <c r="O63" s="2" t="n"/>
      <c r="P63" s="2" t="n"/>
      <c r="Q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3" t="n"/>
      <c r="L64" s="3">
        <f>IF(OR(E64="",K64=""),"",E64*K64)</f>
        <v/>
      </c>
      <c r="M64" s="2" t="n"/>
      <c r="N64" s="2" t="n"/>
      <c r="O64" s="2" t="n"/>
      <c r="P64" s="2" t="n"/>
      <c r="Q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3" t="n"/>
      <c r="L65" s="3">
        <f>IF(OR(E65="",K65=""),"",E65*K65)</f>
        <v/>
      </c>
      <c r="M65" s="2" t="n"/>
      <c r="N65" s="2" t="n"/>
      <c r="O65" s="2" t="n"/>
      <c r="P65" s="2" t="n"/>
      <c r="Q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3" t="n"/>
      <c r="L66" s="3">
        <f>IF(OR(E66="",K66=""),"",E66*K66)</f>
        <v/>
      </c>
      <c r="M66" s="2" t="n"/>
      <c r="N66" s="2" t="n"/>
      <c r="O66" s="2" t="n"/>
      <c r="P66" s="2" t="n"/>
      <c r="Q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3" t="n"/>
      <c r="L67" s="3">
        <f>IF(OR(E67="",K67=""),"",E67*K67)</f>
        <v/>
      </c>
      <c r="M67" s="2" t="n"/>
      <c r="N67" s="2" t="n"/>
      <c r="O67" s="2" t="n"/>
      <c r="P67" s="2" t="n"/>
      <c r="Q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3" t="n"/>
      <c r="L68" s="3">
        <f>IF(OR(E68="",K68=""),"",E68*K68)</f>
        <v/>
      </c>
      <c r="M68" s="2" t="n"/>
      <c r="N68" s="2" t="n"/>
      <c r="O68" s="2" t="n"/>
      <c r="P68" s="2" t="n"/>
      <c r="Q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3" t="n"/>
      <c r="L69" s="3">
        <f>IF(OR(E69="",K69=""),"",E69*K69)</f>
        <v/>
      </c>
      <c r="M69" s="2" t="n"/>
      <c r="N69" s="2" t="n"/>
      <c r="O69" s="2" t="n"/>
      <c r="P69" s="2" t="n"/>
      <c r="Q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3" t="n"/>
      <c r="L70" s="3">
        <f>IF(OR(E70="",K70=""),"",E70*K70)</f>
        <v/>
      </c>
      <c r="M70" s="2" t="n"/>
      <c r="N70" s="2" t="n"/>
      <c r="O70" s="2" t="n"/>
      <c r="P70" s="2" t="n"/>
      <c r="Q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3" t="n"/>
      <c r="L71" s="3">
        <f>IF(OR(E71="",K71=""),"",E71*K71)</f>
        <v/>
      </c>
      <c r="M71" s="2" t="n"/>
      <c r="N71" s="2" t="n"/>
      <c r="O71" s="2" t="n"/>
      <c r="P71" s="2" t="n"/>
      <c r="Q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3" t="n"/>
      <c r="L72" s="3">
        <f>IF(OR(E72="",K72=""),"",E72*K72)</f>
        <v/>
      </c>
      <c r="M72" s="2" t="n"/>
      <c r="N72" s="2" t="n"/>
      <c r="O72" s="2" t="n"/>
      <c r="P72" s="2" t="n"/>
      <c r="Q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3" t="n"/>
      <c r="L73" s="3">
        <f>IF(OR(E73="",K73=""),"",E73*K73)</f>
        <v/>
      </c>
      <c r="M73" s="2" t="n"/>
      <c r="N73" s="2" t="n"/>
      <c r="O73" s="2" t="n"/>
      <c r="P73" s="2" t="n"/>
      <c r="Q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3" t="n"/>
      <c r="L74" s="3">
        <f>IF(OR(E74="",K74=""),"",E74*K74)</f>
        <v/>
      </c>
      <c r="M74" s="2" t="n"/>
      <c r="N74" s="2" t="n"/>
      <c r="O74" s="2" t="n"/>
      <c r="P74" s="2" t="n"/>
      <c r="Q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3" t="n"/>
      <c r="L75" s="3">
        <f>IF(OR(E75="",K75=""),"",E75*K75)</f>
        <v/>
      </c>
      <c r="M75" s="2" t="n"/>
      <c r="N75" s="2" t="n"/>
      <c r="O75" s="2" t="n"/>
      <c r="P75" s="2" t="n"/>
      <c r="Q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3" t="n"/>
      <c r="L76" s="3">
        <f>IF(OR(E76="",K76=""),"",E76*K76)</f>
        <v/>
      </c>
      <c r="M76" s="2" t="n"/>
      <c r="N76" s="2" t="n"/>
      <c r="O76" s="2" t="n"/>
      <c r="P76" s="2" t="n"/>
      <c r="Q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3" t="n"/>
      <c r="L77" s="3">
        <f>IF(OR(E77="",K77=""),"",E77*K77)</f>
        <v/>
      </c>
      <c r="M77" s="2" t="n"/>
      <c r="N77" s="2" t="n"/>
      <c r="O77" s="2" t="n"/>
      <c r="P77" s="2" t="n"/>
      <c r="Q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3" t="n"/>
      <c r="L78" s="3">
        <f>IF(OR(E78="",K78=""),"",E78*K78)</f>
        <v/>
      </c>
      <c r="M78" s="2" t="n"/>
      <c r="N78" s="2" t="n"/>
      <c r="O78" s="2" t="n"/>
      <c r="P78" s="2" t="n"/>
      <c r="Q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3" t="n"/>
      <c r="L79" s="3">
        <f>IF(OR(E79="",K79=""),"",E79*K79)</f>
        <v/>
      </c>
      <c r="M79" s="2" t="n"/>
      <c r="N79" s="2" t="n"/>
      <c r="O79" s="2" t="n"/>
      <c r="P79" s="2" t="n"/>
      <c r="Q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3" t="n"/>
      <c r="L80" s="3">
        <f>IF(OR(E80="",K80=""),"",E80*K80)</f>
        <v/>
      </c>
      <c r="M80" s="2" t="n"/>
      <c r="N80" s="2" t="n"/>
      <c r="O80" s="2" t="n"/>
      <c r="P80" s="2" t="n"/>
      <c r="Q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3" t="n"/>
      <c r="L81" s="3">
        <f>IF(OR(E81="",K81=""),"",E81*K81)</f>
        <v/>
      </c>
      <c r="M81" s="2" t="n"/>
      <c r="N81" s="2" t="n"/>
      <c r="O81" s="2" t="n"/>
      <c r="P81" s="2" t="n"/>
      <c r="Q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3" t="n"/>
      <c r="L82" s="3">
        <f>IF(OR(E82="",K82=""),"",E82*K82)</f>
        <v/>
      </c>
      <c r="M82" s="2" t="n"/>
      <c r="N82" s="2" t="n"/>
      <c r="O82" s="2" t="n"/>
      <c r="P82" s="2" t="n"/>
      <c r="Q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3" t="n"/>
      <c r="L83" s="3">
        <f>IF(OR(E83="",K83=""),"",E83*K83)</f>
        <v/>
      </c>
      <c r="M83" s="2" t="n"/>
      <c r="N83" s="2" t="n"/>
      <c r="O83" s="2" t="n"/>
      <c r="P83" s="2" t="n"/>
      <c r="Q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3" t="n"/>
      <c r="L84" s="3">
        <f>IF(OR(E84="",K84=""),"",E84*K84)</f>
        <v/>
      </c>
      <c r="M84" s="2" t="n"/>
      <c r="N84" s="2" t="n"/>
      <c r="O84" s="2" t="n"/>
      <c r="P84" s="2" t="n"/>
      <c r="Q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3" t="n"/>
      <c r="L85" s="3">
        <f>IF(OR(E85="",K85=""),"",E85*K85)</f>
        <v/>
      </c>
      <c r="M85" s="2" t="n"/>
      <c r="N85" s="2" t="n"/>
      <c r="O85" s="2" t="n"/>
      <c r="P85" s="2" t="n"/>
      <c r="Q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3" t="n"/>
      <c r="L86" s="3">
        <f>IF(OR(E86="",K86=""),"",E86*K86)</f>
        <v/>
      </c>
      <c r="M86" s="2" t="n"/>
      <c r="N86" s="2" t="n"/>
      <c r="O86" s="2" t="n"/>
      <c r="P86" s="2" t="n"/>
      <c r="Q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3" t="n"/>
      <c r="L87" s="3">
        <f>IF(OR(E87="",K87=""),"",E87*K87)</f>
        <v/>
      </c>
      <c r="M87" s="2" t="n"/>
      <c r="N87" s="2" t="n"/>
      <c r="O87" s="2" t="n"/>
      <c r="P87" s="2" t="n"/>
      <c r="Q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3" t="n"/>
      <c r="L88" s="3">
        <f>IF(OR(E88="",K88=""),"",E88*K88)</f>
        <v/>
      </c>
      <c r="M88" s="2" t="n"/>
      <c r="N88" s="2" t="n"/>
      <c r="O88" s="2" t="n"/>
      <c r="P88" s="2" t="n"/>
      <c r="Q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3" t="n"/>
      <c r="L89" s="3">
        <f>IF(OR(E89="",K89=""),"",E89*K89)</f>
        <v/>
      </c>
      <c r="M89" s="2" t="n"/>
      <c r="N89" s="2" t="n"/>
      <c r="O89" s="2" t="n"/>
      <c r="P89" s="2" t="n"/>
      <c r="Q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3" t="n"/>
      <c r="L90" s="3">
        <f>IF(OR(E90="",K90=""),"",E90*K90)</f>
        <v/>
      </c>
      <c r="M90" s="2" t="n"/>
      <c r="N90" s="2" t="n"/>
      <c r="O90" s="2" t="n"/>
      <c r="P90" s="2" t="n"/>
      <c r="Q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3" t="n"/>
      <c r="L91" s="3">
        <f>IF(OR(E91="",K91=""),"",E91*K91)</f>
        <v/>
      </c>
      <c r="M91" s="2" t="n"/>
      <c r="N91" s="2" t="n"/>
      <c r="O91" s="2" t="n"/>
      <c r="P91" s="2" t="n"/>
      <c r="Q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3" t="n"/>
      <c r="L92" s="3">
        <f>IF(OR(E92="",K92=""),"",E92*K92)</f>
        <v/>
      </c>
      <c r="M92" s="2" t="n"/>
      <c r="N92" s="2" t="n"/>
      <c r="O92" s="2" t="n"/>
      <c r="P92" s="2" t="n"/>
      <c r="Q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3" t="n"/>
      <c r="L93" s="3">
        <f>IF(OR(E93="",K93=""),"",E93*K93)</f>
        <v/>
      </c>
      <c r="M93" s="2" t="n"/>
      <c r="N93" s="2" t="n"/>
      <c r="O93" s="2" t="n"/>
      <c r="P93" s="2" t="n"/>
      <c r="Q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3" t="n"/>
      <c r="L94" s="3">
        <f>IF(OR(E94="",K94=""),"",E94*K94)</f>
        <v/>
      </c>
      <c r="M94" s="2" t="n"/>
      <c r="N94" s="2" t="n"/>
      <c r="O94" s="2" t="n"/>
      <c r="P94" s="2" t="n"/>
      <c r="Q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3" t="n"/>
      <c r="L95" s="3">
        <f>IF(OR(E95="",K95=""),"",E95*K95)</f>
        <v/>
      </c>
      <c r="M95" s="2" t="n"/>
      <c r="N95" s="2" t="n"/>
      <c r="O95" s="2" t="n"/>
      <c r="P95" s="2" t="n"/>
      <c r="Q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3" t="n"/>
      <c r="L96" s="3">
        <f>IF(OR(E96="",K96=""),"",E96*K96)</f>
        <v/>
      </c>
      <c r="M96" s="2" t="n"/>
      <c r="N96" s="2" t="n"/>
      <c r="O96" s="2" t="n"/>
      <c r="P96" s="2" t="n"/>
      <c r="Q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3" t="n"/>
      <c r="L97" s="3">
        <f>IF(OR(E97="",K97=""),"",E97*K97)</f>
        <v/>
      </c>
      <c r="M97" s="2" t="n"/>
      <c r="N97" s="2" t="n"/>
      <c r="O97" s="2" t="n"/>
      <c r="P97" s="2" t="n"/>
      <c r="Q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3" t="n"/>
      <c r="L98" s="3">
        <f>IF(OR(E98="",K98=""),"",E98*K98)</f>
        <v/>
      </c>
      <c r="M98" s="2" t="n"/>
      <c r="N98" s="2" t="n"/>
      <c r="O98" s="2" t="n"/>
      <c r="P98" s="2" t="n"/>
      <c r="Q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3" t="n"/>
      <c r="L99" s="3">
        <f>IF(OR(E99="",K99=""),"",E99*K99)</f>
        <v/>
      </c>
      <c r="M99" s="2" t="n"/>
      <c r="N99" s="2" t="n"/>
      <c r="O99" s="2" t="n"/>
      <c r="P99" s="2" t="n"/>
      <c r="Q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3" t="n"/>
      <c r="L100" s="3">
        <f>IF(OR(E100="",K100=""),"",E100*K100)</f>
        <v/>
      </c>
      <c r="M100" s="2" t="n"/>
      <c r="N100" s="2" t="n"/>
      <c r="O100" s="2" t="n"/>
      <c r="P100" s="2" t="n"/>
      <c r="Q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3" t="n"/>
      <c r="L101" s="3">
        <f>IF(OR(E101="",K101=""),"",E101*K101)</f>
        <v/>
      </c>
      <c r="M101" s="2" t="n"/>
      <c r="N101" s="2" t="n"/>
      <c r="O101" s="2" t="n"/>
      <c r="P101" s="2" t="n"/>
      <c r="Q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3" t="n"/>
      <c r="L102" s="3">
        <f>IF(OR(E102="",K102=""),"",E102*K102)</f>
        <v/>
      </c>
      <c r="M102" s="2" t="n"/>
      <c r="N102" s="2" t="n"/>
      <c r="O102" s="2" t="n"/>
      <c r="P102" s="2" t="n"/>
      <c r="Q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3" t="n"/>
      <c r="L103" s="3">
        <f>IF(OR(E103="",K103=""),"",E103*K103)</f>
        <v/>
      </c>
      <c r="M103" s="2" t="n"/>
      <c r="N103" s="2" t="n"/>
      <c r="O103" s="2" t="n"/>
      <c r="P103" s="2" t="n"/>
      <c r="Q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3" t="n"/>
      <c r="L104" s="3">
        <f>IF(OR(E104="",K104=""),"",E104*K104)</f>
        <v/>
      </c>
      <c r="M104" s="2" t="n"/>
      <c r="N104" s="2" t="n"/>
      <c r="O104" s="2" t="n"/>
      <c r="P104" s="2" t="n"/>
      <c r="Q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3" t="n"/>
      <c r="L105" s="3">
        <f>IF(OR(E105="",K105=""),"",E105*K105)</f>
        <v/>
      </c>
      <c r="M105" s="2" t="n"/>
      <c r="N105" s="2" t="n"/>
      <c r="O105" s="2" t="n"/>
      <c r="P105" s="2" t="n"/>
      <c r="Q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3" t="n"/>
      <c r="L106" s="3">
        <f>IF(OR(E106="",K106=""),"",E106*K106)</f>
        <v/>
      </c>
      <c r="M106" s="2" t="n"/>
      <c r="N106" s="2" t="n"/>
      <c r="O106" s="2" t="n"/>
      <c r="P106" s="2" t="n"/>
      <c r="Q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3" t="n"/>
      <c r="L107" s="3">
        <f>IF(OR(E107="",K107=""),"",E107*K107)</f>
        <v/>
      </c>
      <c r="M107" s="2" t="n"/>
      <c r="N107" s="2" t="n"/>
      <c r="O107" s="2" t="n"/>
      <c r="P107" s="2" t="n"/>
      <c r="Q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3" t="n"/>
      <c r="L108" s="3">
        <f>IF(OR(E108="",K108=""),"",E108*K108)</f>
        <v/>
      </c>
      <c r="M108" s="2" t="n"/>
      <c r="N108" s="2" t="n"/>
      <c r="O108" s="2" t="n"/>
      <c r="P108" s="2" t="n"/>
      <c r="Q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3" t="n"/>
      <c r="L109" s="3">
        <f>IF(OR(E109="",K109=""),"",E109*K109)</f>
        <v/>
      </c>
      <c r="M109" s="2" t="n"/>
      <c r="N109" s="2" t="n"/>
      <c r="O109" s="2" t="n"/>
      <c r="P109" s="2" t="n"/>
      <c r="Q109" s="2" t="n"/>
    </row>
  </sheetData>
  <autoFilter ref="A1:Q109"/>
  <dataValidations count="1">
    <dataValidation sqref="O2:O109" showDropDown="0" showInputMessage="0" showErrorMessage="0" allowBlank="1" type="list">
      <formula1>"Purchase,Transfer,Sale/Issue,Adjustment"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D14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4" customWidth="1" min="2" max="2"/>
  </cols>
  <sheetData>
    <row r="1">
      <c r="A1" s="4" t="inlineStr">
        <is>
          <t>OKAZ ARABIA | STOCK JOURNEY DASHBOARD TEMPLATE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t="inlineStr">
        <is>
          <t>Total Qty In</t>
        </is>
      </c>
      <c r="B4" s="6">
        <f>SUM(StockLedger[Qty In])</f>
        <v/>
      </c>
    </row>
    <row r="5">
      <c r="A5" t="inlineStr">
        <is>
          <t>Total Qty Out</t>
        </is>
      </c>
      <c r="B5" s="6">
        <f>SUM(StockLedger[Qty Out])</f>
        <v/>
      </c>
    </row>
    <row r="6">
      <c r="A6" t="inlineStr">
        <is>
          <t>Current stock (sum of Balance column)</t>
        </is>
      </c>
      <c r="B6" s="6">
        <f>SUM(StockLedger[Balance])</f>
        <v/>
      </c>
    </row>
    <row r="7">
      <c r="A7" t="inlineStr">
        <is>
          <t>Total line value</t>
        </is>
      </c>
      <c r="B7" s="6">
        <f>SUM(StockLedger[Line Value])</f>
        <v/>
      </c>
    </row>
    <row r="8">
      <c r="A8" t="inlineStr">
        <is>
          <t>Purchase rows</t>
        </is>
      </c>
      <c r="B8" s="6">
        <f>COUNTIF(StockLedger[Movement Type],"Purchase")</f>
        <v/>
      </c>
    </row>
    <row r="9">
      <c r="A9" t="inlineStr">
        <is>
          <t>Transfer rows</t>
        </is>
      </c>
      <c r="B9" s="6">
        <f>COUNTIF(StockLedger[Movement Type],"Transfer")</f>
        <v/>
      </c>
    </row>
    <row r="12">
      <c r="A12" s="7" t="inlineStr">
        <is>
          <t>Important</t>
        </is>
      </c>
    </row>
    <row r="13">
      <c r="A13" t="inlineStr">
        <is>
          <t>Sample rows are illustrative. Replace/append them with your actual ledger before using the totals.</t>
        </is>
      </c>
    </row>
    <row r="14">
      <c r="A14" t="inlineStr">
        <is>
          <t>For accurate total stock, use one latest balance per item/warehouse rather than summing historical balance snapshots.</t>
        </is>
      </c>
    </row>
  </sheetData>
  <mergeCells count="3">
    <mergeCell ref="A1:D1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28" customWidth="1" min="4" max="4"/>
  </cols>
  <sheetData>
    <row r="1">
      <c r="A1" s="8" t="inlineStr">
        <is>
          <t>DYNAMIC GITHUB CSV IMPORT (Excel Power Query)</t>
        </is>
      </c>
    </row>
    <row r="3" ht="28" customHeight="1">
      <c r="A3" s="9" t="inlineStr">
        <is>
          <t>Purpose</t>
        </is>
      </c>
      <c r="B3" s="10" t="inlineStr">
        <is>
          <t>Import a public GitHub CSV into Excel and refresh it when the source file changes.</t>
        </is>
      </c>
    </row>
    <row r="4" ht="28" customHeight="1">
      <c r="A4" s="9" t="inlineStr">
        <is>
          <t>Step 1</t>
        </is>
      </c>
      <c r="B4" s="10" t="inlineStr">
        <is>
          <t>Open the GitHub repository and open the CSV file.</t>
        </is>
      </c>
    </row>
    <row r="5" ht="42" customHeight="1">
      <c r="A5" s="9" t="inlineStr">
        <is>
          <t>Step 2</t>
        </is>
      </c>
      <c r="B5" s="10" t="inlineStr">
        <is>
          <t>Click Raw and copy the raw.githubusercontent.com URL. It usually looks like https://raw.githubusercontent.com/OWNER/REPO/BRANCH/path/file.csv</t>
        </is>
      </c>
    </row>
    <row r="6" ht="42" customHeight="1">
      <c r="A6" s="9" t="inlineStr">
        <is>
          <t>Step 3</t>
        </is>
      </c>
      <c r="B6" s="10" t="inlineStr">
        <is>
          <t>In Excel: Data → Get Data → From Other Sources → From Web. Paste the raw URL, then select Transform Data or Load.</t>
        </is>
      </c>
    </row>
    <row r="7" ht="28" customHeight="1">
      <c r="A7" s="9" t="inlineStr">
        <is>
          <t>Step 4</t>
        </is>
      </c>
      <c r="B7" s="10" t="inlineStr">
        <is>
          <t>Load the result into a new worksheet. Rename the sheet GitHub Data.</t>
        </is>
      </c>
    </row>
    <row r="8" ht="42" customHeight="1">
      <c r="A8" s="9" t="inlineStr">
        <is>
          <t>Step 5</t>
        </is>
      </c>
      <c r="B8" s="10" t="inlineStr">
        <is>
          <t>To refresh later: Data → Refresh All. For refresh-on-open, use Data → Queries &amp; Connections → query Properties.</t>
        </is>
      </c>
    </row>
    <row r="9" ht="42" customHeight="1">
      <c r="A9" s="9" t="inlineStr">
        <is>
          <t>Important</t>
        </is>
      </c>
      <c r="B9" s="10" t="inlineStr">
        <is>
          <t>This workbook does not have a repository URL from you yet, so no live GitHub source is connected. Add the exact public raw CSV URL in Power Query.</t>
        </is>
      </c>
    </row>
    <row r="10" ht="42" customHeight="1">
      <c r="A10" s="9" t="inlineStr">
        <is>
          <t>Alternative</t>
        </is>
      </c>
      <c r="B10" s="10" t="inlineStr">
        <is>
          <t>If GitHub publishes JSON instead of CSV, use Data → Get Data → From Web and transform the JSON in Power Query.</t>
        </is>
      </c>
    </row>
    <row r="11" ht="42" customHeight="1">
      <c r="A11" s="9" t="inlineStr">
        <is>
          <t>Suggested CSV columns</t>
        </is>
      </c>
      <c r="B11" s="10" t="inlineStr">
        <is>
          <t>Date, Item Code, Item Name, UOM, Qty In, Qty Out, Balance, Warehouse, Brand, Description, Unit Rate, Line Value, Voucher Type, Voucher No, Movement Type, From Warehouse, To Warehouse</t>
        </is>
      </c>
    </row>
  </sheetData>
  <mergeCells count="10">
    <mergeCell ref="B10:D10"/>
    <mergeCell ref="A1:D1"/>
    <mergeCell ref="B11:D1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C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30" customWidth="1" min="3" max="3"/>
  </cols>
  <sheetData>
    <row r="1">
      <c r="A1" s="8" t="inlineStr">
        <is>
          <t>HOW TO USE THIS TEMPLATE</t>
        </is>
      </c>
    </row>
    <row r="3" ht="40" customHeight="1">
      <c r="A3" s="9" t="inlineStr">
        <is>
          <t>1. Stock Ledger</t>
        </is>
      </c>
      <c r="B3" s="10" t="inlineStr">
        <is>
          <t>Contains sample stock movements adapted from the uploaded OKAZ ARABIA dashboard, plus blank rows for new entries.</t>
        </is>
      </c>
    </row>
    <row r="4" ht="40" customHeight="1">
      <c r="A4" s="9" t="inlineStr">
        <is>
          <t>2. Movement Type</t>
        </is>
      </c>
      <c r="B4" s="10" t="inlineStr">
        <is>
          <t>Use Purchase for stock received from a supplier, Transfer for warehouse movements, Sale/Issue for stock leaving the business, or Adjustment for corrections.</t>
        </is>
      </c>
    </row>
    <row r="5" ht="40" customHeight="1">
      <c r="A5" s="9" t="inlineStr">
        <is>
          <t>3. Balance</t>
        </is>
      </c>
      <c r="B5" s="10" t="inlineStr">
        <is>
          <t>The sample rows use the balances shown in the source dashboard. For your own ledger, record the balance after each movement per item and warehouse.</t>
        </is>
      </c>
    </row>
    <row r="6" ht="40" customHeight="1">
      <c r="A6" s="9" t="inlineStr">
        <is>
          <t>4. Dashboard</t>
        </is>
      </c>
      <c r="B6" s="10" t="inlineStr">
        <is>
          <t>Basic summary formulas use the Excel table. The current-stock sum is only a simple example and may double-count historical balances.</t>
        </is>
      </c>
    </row>
    <row r="7" ht="40" customHeight="1">
      <c r="A7" s="9" t="inlineStr">
        <is>
          <t>5. GitHub Import</t>
        </is>
      </c>
      <c r="B7" s="10" t="inlineStr">
        <is>
          <t>Follow the instructions to connect a public GitHub raw CSV using Excel Power Query. Refresh All updates imported data.</t>
        </is>
      </c>
    </row>
    <row r="8" ht="40" customHeight="1">
      <c r="A8" s="9" t="inlineStr">
        <is>
          <t>6. Privacy</t>
        </is>
      </c>
      <c r="B8" s="10" t="inlineStr">
        <is>
          <t>Only connect public or authorized data sources; do not publish confidential stock information to a public repository.</t>
        </is>
      </c>
    </row>
  </sheetData>
  <mergeCells count="7">
    <mergeCell ref="B6:C6"/>
    <mergeCell ref="B7:C7"/>
    <mergeCell ref="A1:C1"/>
    <mergeCell ref="B3:C3"/>
    <mergeCell ref="B5:C5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2026-10-30T07:09:30Z</dcterms:created>
  <dcterms:modified xmlns:dcterms="http://purl.org/dc/terms/" xmlns:xsi="http://www.w3.org/2001/XMLSchema-instance" xsi:type="dcterms:W3CDTF">2026-10-30T07:09:30Z</dcterms:modified>
</cp:coreProperties>
</file>